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4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els/Desktop/_DDEX_Temp/DSR-2305 - Draft DSR Samples for 2020 versions 2020-10-08/Part9/"/>
    </mc:Choice>
  </mc:AlternateContent>
  <xr:revisionPtr revIDLastSave="0" documentId="13_ncr:1_{C2248984-1B79-704D-9CBB-6D7354F47105}" xr6:coauthVersionLast="36" xr6:coauthVersionMax="36" xr10:uidLastSave="{00000000-0000-0000-0000-000000000000}"/>
  <bookViews>
    <workbookView xWindow="1100" yWindow="-20020" windowWidth="25600" windowHeight="20020" tabRatio="774" xr2:uid="{00000000-000D-0000-FFFF-FFFF00000000}"/>
  </bookViews>
  <sheets>
    <sheet name="FinancialReportToRecCo" sheetId="4" r:id="rId1"/>
  </sheets>
  <definedNames>
    <definedName name="_xlnm._FilterDatabase" localSheetId="0" hidden="1">FinancialReportToRecCo!$A$1:$AU$20</definedName>
    <definedName name="DSR_PADPIDA2015777777X_PADPIDA2015888888X_AdFunded_2015_12_01__2015_12_31_FR_1of1_20160125T091822" localSheetId="0">FinancialReportToRecCo!$A$2:$T$14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7" i="4" l="1"/>
  <c r="AL7" i="4"/>
  <c r="AL6" i="4"/>
  <c r="AG7" i="4" l="1"/>
  <c r="AI7" i="4" s="1"/>
  <c r="Z7" i="4"/>
  <c r="AH7" i="4" s="1"/>
  <c r="AJ7" i="4" s="1"/>
  <c r="AG6" i="4"/>
  <c r="AI6" i="4" s="1"/>
  <c r="Z6" i="4"/>
  <c r="AH6" i="4" s="1"/>
  <c r="AJ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SR_PADPIDA2015777777X_PADPIDA2015888888X_AdFunded_2015-12-01--2015-12-31_FR_1of1_20160125T091822.tsv" type="6" refreshedVersion="0" background="1" saveData="1">
    <textPr fileType="mac" sourceFile="SSD:Users:nrump:Desktop:_Temp:dsrfconf:BasicAudioProfile_PAYG_Download:DSR_PADPIDA2015777777X_PADPIDA2015888888X_AdFunded_2015-12-01--2015-12-31_FR_1of1_20160125T091822.tsv">
      <textFields count="2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<sst xmlns="http://schemas.openxmlformats.org/spreadsheetml/2006/main" count="209" uniqueCount="158">
  <si>
    <t>HEAD</t>
  </si>
  <si>
    <t>#HEAD</t>
  </si>
  <si>
    <t>MessageVersion</t>
  </si>
  <si>
    <t>Profile</t>
  </si>
  <si>
    <t>ProfileVersion</t>
  </si>
  <si>
    <t>MessageId</t>
  </si>
  <si>
    <t>MessageCreatedDateTime</t>
  </si>
  <si>
    <t>FileNumber</t>
  </si>
  <si>
    <t>UsageStartDate</t>
  </si>
  <si>
    <t>UsageEndDate</t>
  </si>
  <si>
    <t>SenderPartyId</t>
  </si>
  <si>
    <t>SenderName</t>
  </si>
  <si>
    <t>ServiceDescription</t>
  </si>
  <si>
    <t>RecipientPartyId</t>
  </si>
  <si>
    <t>RecipientName</t>
  </si>
  <si>
    <t>RepresentedRepertoire</t>
  </si>
  <si>
    <t>SummaryRecordId</t>
  </si>
  <si>
    <t>DistributionChannel</t>
  </si>
  <si>
    <t>DistributionChannelDPID</t>
  </si>
  <si>
    <t>CommercialModel</t>
  </si>
  <si>
    <t>UseType</t>
  </si>
  <si>
    <t>Territory</t>
  </si>
  <si>
    <t>Usages</t>
  </si>
  <si>
    <t>DspResourceId</t>
  </si>
  <si>
    <t>ResourceType</t>
  </si>
  <si>
    <t>SalesTransactionId</t>
  </si>
  <si>
    <t>NumberOfLinesInReport</t>
  </si>
  <si>
    <t>NumberOfSummaryRecords</t>
  </si>
  <si>
    <t>Stream</t>
  </si>
  <si>
    <t>SoundRecording</t>
  </si>
  <si>
    <t>1</t>
  </si>
  <si>
    <t>2</t>
  </si>
  <si>
    <t>7</t>
  </si>
  <si>
    <t>NumberOfFiles</t>
  </si>
  <si>
    <t>Subscribers</t>
  </si>
  <si>
    <t>ProprietaryReleaseId</t>
  </si>
  <si>
    <t>ReleaseType</t>
  </si>
  <si>
    <t>Returns</t>
  </si>
  <si>
    <t>2016-01-25T09:18:22Z</t>
  </si>
  <si>
    <t>PADPIDA2015777777X</t>
  </si>
  <si>
    <t>Test Company</t>
  </si>
  <si>
    <t>AdFunded</t>
  </si>
  <si>
    <t>PADPIDA2015888888X</t>
  </si>
  <si>
    <t xml:space="preserve"> </t>
  </si>
  <si>
    <t>PADPIDA000001DF1</t>
  </si>
  <si>
    <t>PayAsYouGoModel</t>
  </si>
  <si>
    <t>PermanentDownload</t>
  </si>
  <si>
    <t>FR</t>
  </si>
  <si>
    <t>12000</t>
  </si>
  <si>
    <t>EUR</t>
  </si>
  <si>
    <t>Album</t>
  </si>
  <si>
    <t>04312ef08dfd4ce984d70da69e8f10e6</t>
  </si>
  <si>
    <t>d37700594f044c19a48b1ecde9d96176</t>
  </si>
  <si>
    <t>Subscription</t>
  </si>
  <si>
    <t>true</t>
  </si>
  <si>
    <t>DKK</t>
  </si>
  <si>
    <t>1234567890</t>
  </si>
  <si>
    <t>2018-01-01</t>
  </si>
  <si>
    <t>2018-01-31</t>
  </si>
  <si>
    <t>PremiumService</t>
  </si>
  <si>
    <t>#SRFO</t>
  </si>
  <si>
    <t>SubscriberType</t>
  </si>
  <si>
    <t>PromotonalActivity</t>
  </si>
  <si>
    <t>DeductionType</t>
  </si>
  <si>
    <t>Tax|ServiceCharge</t>
  </si>
  <si>
    <t>GrossRevenueInCoT</t>
  </si>
  <si>
    <t>GrossRevenueInCoA</t>
  </si>
  <si>
    <t>DeductionInCoT</t>
  </si>
  <si>
    <t>DeductioninCoA</t>
  </si>
  <si>
    <t>NetRevenueCoA</t>
  </si>
  <si>
    <t>NetRevenueCoT</t>
  </si>
  <si>
    <t>AllocatedRevenueCoA</t>
  </si>
  <si>
    <t>AllocatedRevenueCoT</t>
  </si>
  <si>
    <t>FinancialReportingToRecordCompaniesSRB</t>
  </si>
  <si>
    <t>DspReleaseid</t>
  </si>
  <si>
    <t>LabelReleaseid</t>
  </si>
  <si>
    <t>ReleaseTitle</t>
  </si>
  <si>
    <t>ReleaseSubTitle</t>
  </si>
  <si>
    <t>ReleaseDisplayArtistName</t>
  </si>
  <si>
    <t>ReleaseDisplayArtistId</t>
  </si>
  <si>
    <t>LabelResourceId</t>
  </si>
  <si>
    <t>ProprietaryResourceId</t>
  </si>
  <si>
    <t>ContextReleaseGrid</t>
  </si>
  <si>
    <t>ResourceTitle</t>
  </si>
  <si>
    <t>ResourceSubTitle</t>
  </si>
  <si>
    <t>ResourceDisplayArtistName</t>
  </si>
  <si>
    <t>ResourceDisplayArtistPartyId</t>
  </si>
  <si>
    <t># A sound recording from an album</t>
  </si>
  <si>
    <t># A sound recording (where no Release informaiton is available)</t>
  </si>
  <si>
    <t>ContextReleaseId</t>
  </si>
  <si>
    <t>TotalUsages</t>
  </si>
  <si>
    <t>NetUsage</t>
  </si>
  <si>
    <t>WholesalePriceCoT</t>
  </si>
  <si>
    <t>WholesalePriceCoA</t>
  </si>
  <si>
    <t>PriceRangeType</t>
  </si>
  <si>
    <t>PriceConsumerPaidExcSalesTaxCoT</t>
  </si>
  <si>
    <t>PriceConsumerPaidExcSalesTaxCoA</t>
  </si>
  <si>
    <t>DeductionCoT</t>
  </si>
  <si>
    <t>DeductionCoA</t>
  </si>
  <si>
    <t>AllocatedNetRevenueCoT</t>
  </si>
  <si>
    <t>AllocatedNetRevenueCoA</t>
  </si>
  <si>
    <t>No Need To Argue</t>
  </si>
  <si>
    <t>The Cranberries</t>
  </si>
  <si>
    <t>743212334425</t>
  </si>
  <si>
    <t>74321 23344 2</t>
  </si>
  <si>
    <t>Zombies</t>
  </si>
  <si>
    <t>GBL280400674</t>
  </si>
  <si>
    <t>PrIceType</t>
  </si>
  <si>
    <t>Budget</t>
  </si>
  <si>
    <t>X55</t>
  </si>
  <si>
    <t>Tax|Service</t>
  </si>
  <si>
    <t>1|2</t>
  </si>
  <si>
    <t>50|100</t>
  </si>
  <si>
    <t>CopyrightObligationWithDSP</t>
  </si>
  <si>
    <t>100|200</t>
  </si>
  <si>
    <t>5000|10000</t>
  </si>
  <si>
    <t>RighSharePercentage</t>
  </si>
  <si>
    <t>CurrencyOfAccounting</t>
  </si>
  <si>
    <t>CurrencyOfTransaction</t>
  </si>
  <si>
    <t>PerSubscriberMinimum</t>
  </si>
  <si>
    <t>FixedSubscriberMinimum</t>
  </si>
  <si>
    <t>PerPlayRate</t>
  </si>
  <si>
    <t>SubscriptionFeeInCoT</t>
  </si>
  <si>
    <t>SubscriptionFeeInCoA</t>
  </si>
  <si>
    <t># A traditional album (only a album information is provided)</t>
  </si>
  <si>
    <t>ReportingPeriodStartDate</t>
  </si>
  <si>
    <t>ReportingPeriodEndDate</t>
  </si>
  <si>
    <t>ActiveSubscribers</t>
  </si>
  <si>
    <t>OfferType</t>
  </si>
  <si>
    <t>Quality</t>
  </si>
  <si>
    <t>AllocatedUsags</t>
  </si>
  <si>
    <t>MusicUsagePercentage</t>
  </si>
  <si>
    <t>ExchangeRate</t>
  </si>
  <si>
    <t>10.2</t>
  </si>
  <si>
    <t>DateOfCurrencyExchange</t>
  </si>
  <si>
    <t>2020-01-01</t>
  </si>
  <si>
    <t>RightsControllerMarketShare</t>
  </si>
  <si>
    <t>UsageIndependentFeeCoT</t>
  </si>
  <si>
    <t>UsageIndependentFeeCoA</t>
  </si>
  <si>
    <t>FinalTotalAmountCoT</t>
  </si>
  <si>
    <t>FinalTotalAmountCoA</t>
  </si>
  <si>
    <t>#SY10.01</t>
  </si>
  <si>
    <t>SY10.01</t>
  </si>
  <si>
    <t>1.1</t>
  </si>
  <si>
    <t>#SR08.01</t>
  </si>
  <si>
    <t>SR08.01</t>
  </si>
  <si>
    <t>3</t>
  </si>
  <si>
    <t>GRid</t>
  </si>
  <si>
    <t>ICPN</t>
  </si>
  <si>
    <t>ISRC</t>
  </si>
  <si>
    <t>ISAN</t>
  </si>
  <si>
    <t>SalesTransactionDaDate</t>
  </si>
  <si>
    <t>SuggesedConsumerPriceCoT</t>
  </si>
  <si>
    <t>SuggestedConsumerPriceCoA</t>
  </si>
  <si>
    <t>CalculatedUnitPriceCoT</t>
  </si>
  <si>
    <t>CalculatedUnitPriceCoA</t>
  </si>
  <si>
    <t>SRFO</t>
  </si>
  <si>
    <t>dsrf/1.3/1.4.1/1.3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</si>
</sst>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9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  <xf numFmtId="0" fontId="6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</cellStyleXfs>
  <cellXfs count="24">
    <xf numFmtId="0" fontId="0" fillId="0" borderId="0" xfId="0"/>
    <xf numFmtId="0" fontId="4" fillId="0" borderId="0" xfId="0" applyFont="1" applyFill="1"/>
    <xf numFmtId="49" fontId="4" fillId="0" borderId="0" xfId="0" applyNumberFormat="1" applyFont="1" applyFill="1"/>
    <xf numFmtId="49" fontId="7" fillId="0" borderId="0" xfId="0" applyNumberFormat="1" applyFont="1" applyFill="1"/>
    <xf numFmtId="0" fontId="7" fillId="0" borderId="0" xfId="0" applyFont="1" applyFill="1"/>
    <xf numFmtId="0" fontId="4" fillId="0" borderId="0" xfId="0" quotePrefix="1" applyFont="1" applyFill="1"/>
    <xf numFmtId="0" fontId="7" fillId="0" borderId="0" xfId="0" quotePrefix="1" applyFont="1" applyFill="1"/>
    <xf numFmtId="49" fontId="4" fillId="2" borderId="0" xfId="0" applyNumberFormat="1" applyFont="1" applyFill="1"/>
    <xf numFmtId="0" fontId="4" fillId="2" borderId="0" xfId="0" applyFont="1" applyFill="1"/>
    <xf numFmtId="49" fontId="7" fillId="2" borderId="0" xfId="0" applyNumberFormat="1" applyFont="1" applyFill="1"/>
    <xf numFmtId="0" fontId="7" fillId="2" borderId="0" xfId="0" applyFont="1" applyFill="1"/>
    <xf numFmtId="0" fontId="4" fillId="2" borderId="0" xfId="0" quotePrefix="1" applyFont="1" applyFill="1"/>
    <xf numFmtId="49" fontId="7" fillId="3" borderId="0" xfId="0" applyNumberFormat="1" applyFont="1" applyFill="1"/>
    <xf numFmtId="0" fontId="7" fillId="3" borderId="0" xfId="0" applyFont="1" applyFill="1"/>
    <xf numFmtId="49" fontId="4" fillId="3" borderId="0" xfId="0" applyNumberFormat="1" applyFont="1" applyFill="1"/>
    <xf numFmtId="0" fontId="4" fillId="3" borderId="0" xfId="0" applyFont="1" applyFill="1"/>
    <xf numFmtId="49" fontId="4" fillId="4" borderId="0" xfId="0" applyNumberFormat="1" applyFont="1" applyFill="1"/>
    <xf numFmtId="0" fontId="4" fillId="4" borderId="0" xfId="0" applyFont="1" applyFill="1"/>
    <xf numFmtId="0" fontId="4" fillId="4" borderId="0" xfId="0" quotePrefix="1" applyFont="1" applyFill="1"/>
    <xf numFmtId="14" fontId="4" fillId="4" borderId="0" xfId="0" quotePrefix="1" applyNumberFormat="1" applyFont="1" applyFill="1"/>
    <xf numFmtId="49" fontId="7" fillId="4" borderId="0" xfId="0" applyNumberFormat="1" applyFont="1" applyFill="1"/>
    <xf numFmtId="0" fontId="7" fillId="4" borderId="0" xfId="0" applyFont="1" applyFill="1"/>
    <xf numFmtId="49" fontId="4" fillId="2" borderId="0" xfId="0" quotePrefix="1" applyNumberFormat="1" applyFont="1" applyFill="1"/>
    <xf numFmtId="49" fontId="4" fillId="3" borderId="0" xfId="0" quotePrefix="1" applyNumberFormat="1" applyFont="1" applyFill="1"/>
  </cellXfs>
  <cellStyles count="19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Normal" xfId="0" builtinId="0"/>
    <cellStyle name="Normal 2" xfId="117" xr:uid="{00000000-0005-0000-0000-0000BF000000}"/>
    <cellStyle name="Normal 3" xfId="118" xr:uid="{00000000-0005-0000-0000-0000C0000000}"/>
    <cellStyle name="Normal 4" xfId="193" xr:uid="{00000000-0005-0000-0000-0000C1000000}"/>
  </cellStyles>
  <dxfs count="0"/>
  <tableStyles count="0" defaultTableStyle="TableStyleMedium9" defaultPivotStyle="PivotStyleMedium4"/>
  <colors>
    <mruColors>
      <color rgb="FFD8267D"/>
      <color rgb="FF000000"/>
      <color rgb="FF00FF00"/>
      <color rgb="FF5B9AC2"/>
      <color rgb="FFED963F"/>
      <color rgb="FF9FB73B"/>
      <color rgb="FF003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SR_PADPIDA2015777777X_PADPIDA2015888888X_AdFunded_2015-12-01--2015-12-31_FR_1of1_20160125T091822" connectionId="1" xr16:uid="{00000000-0016-0000-01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20"/>
  <sheetViews>
    <sheetView tabSelected="1" showRuler="0" zoomScaleNormal="100" workbookViewId="0">
      <selection activeCell="B1" sqref="B1"/>
    </sheetView>
  </sheetViews>
  <sheetFormatPr baseColWidth="10" defaultColWidth="10.83203125" defaultRowHeight="16" x14ac:dyDescent="0.2"/>
  <cols>
    <col min="1" max="1" width="8" style="1" customWidth="1"/>
    <col min="2" max="2" width="22.6640625" style="1" bestFit="1" customWidth="1"/>
    <col min="3" max="3" width="37.5" style="1" bestFit="1" customWidth="1"/>
    <col min="4" max="4" width="34.1640625" style="1" bestFit="1" customWidth="1"/>
    <col min="5" max="5" width="17.6640625" style="1" bestFit="1" customWidth="1"/>
    <col min="6" max="6" width="24.33203125" style="1" bestFit="1" customWidth="1"/>
    <col min="7" max="7" width="22.6640625" style="1" bestFit="1" customWidth="1"/>
    <col min="8" max="8" width="21.6640625" style="1" bestFit="1" customWidth="1"/>
    <col min="9" max="9" width="17.83203125" style="1" bestFit="1" customWidth="1"/>
    <col min="10" max="10" width="14.83203125" style="1" bestFit="1" customWidth="1"/>
    <col min="11" max="11" width="25.1640625" style="1" bestFit="1" customWidth="1"/>
    <col min="12" max="12" width="20.6640625" style="1" bestFit="1" customWidth="1"/>
    <col min="13" max="13" width="17.33203125" style="1" bestFit="1" customWidth="1"/>
    <col min="14" max="14" width="20.83203125" style="1" bestFit="1" customWidth="1"/>
    <col min="15" max="15" width="34.83203125" style="1" bestFit="1" customWidth="1"/>
    <col min="16" max="16" width="21.6640625" style="1" bestFit="1" customWidth="1"/>
    <col min="17" max="17" width="21" style="1" bestFit="1" customWidth="1"/>
    <col min="18" max="18" width="19" style="1" bestFit="1" customWidth="1"/>
    <col min="19" max="19" width="21.6640625" style="1" bestFit="1" customWidth="1"/>
    <col min="20" max="20" width="23.5" style="1" bestFit="1" customWidth="1"/>
    <col min="21" max="21" width="16" style="1" bestFit="1" customWidth="1"/>
    <col min="22" max="22" width="25.6640625" style="1" bestFit="1" customWidth="1"/>
    <col min="23" max="23" width="26.6640625" style="1" bestFit="1" customWidth="1"/>
    <col min="24" max="24" width="22.6640625" style="1" customWidth="1"/>
    <col min="25" max="25" width="20" style="1" bestFit="1" customWidth="1"/>
    <col min="26" max="26" width="18.33203125" style="1" bestFit="1" customWidth="1"/>
    <col min="27" max="27" width="17.33203125" style="1" bestFit="1" customWidth="1"/>
    <col min="28" max="28" width="20" style="1" bestFit="1" customWidth="1"/>
    <col min="29" max="29" width="23.5" style="1" bestFit="1" customWidth="1"/>
    <col min="30" max="30" width="23.33203125" style="1" bestFit="1" customWidth="1"/>
    <col min="31" max="31" width="31.83203125" style="1" bestFit="1" customWidth="1"/>
    <col min="32" max="32" width="32" style="1" bestFit="1" customWidth="1"/>
    <col min="33" max="33" width="23.6640625" style="1" customWidth="1"/>
    <col min="34" max="34" width="24" style="1" bestFit="1" customWidth="1"/>
    <col min="35" max="36" width="20.83203125" style="1" bestFit="1" customWidth="1"/>
    <col min="37" max="37" width="31.83203125" style="1" bestFit="1" customWidth="1"/>
    <col min="38" max="38" width="30.6640625" style="1" bestFit="1" customWidth="1"/>
    <col min="39" max="39" width="25.33203125" style="1" bestFit="1" customWidth="1"/>
    <col min="40" max="40" width="18.83203125" style="1" bestFit="1" customWidth="1"/>
    <col min="41" max="41" width="19" style="1" bestFit="1" customWidth="1"/>
    <col min="42" max="42" width="20" style="1" bestFit="1" customWidth="1"/>
    <col min="43" max="43" width="23" style="1" bestFit="1" customWidth="1"/>
    <col min="44" max="44" width="23.33203125" style="1" bestFit="1" customWidth="1"/>
    <col min="45" max="45" width="23.5" style="1" bestFit="1" customWidth="1"/>
    <col min="46" max="47" width="25.83203125" style="1" bestFit="1" customWidth="1"/>
    <col min="48" max="16384" width="10.83203125" style="1"/>
  </cols>
  <sheetData>
    <row r="1" spans="1:48" s="8" customFormat="1" x14ac:dyDescent="0.2">
      <c r="A1" s="7" t="s">
        <v>0</v>
      </c>
      <c r="B1" s="7" t="s">
        <v>157</v>
      </c>
      <c r="C1" s="7" t="s">
        <v>73</v>
      </c>
      <c r="D1" s="7" t="s">
        <v>143</v>
      </c>
      <c r="E1" s="7" t="s">
        <v>56</v>
      </c>
      <c r="F1" s="7" t="s">
        <v>38</v>
      </c>
      <c r="G1" s="7" t="s">
        <v>30</v>
      </c>
      <c r="H1" s="7" t="s">
        <v>30</v>
      </c>
      <c r="I1" s="22" t="s">
        <v>57</v>
      </c>
      <c r="J1" s="22" t="s">
        <v>58</v>
      </c>
      <c r="K1" s="7" t="s">
        <v>39</v>
      </c>
      <c r="L1" s="7" t="s">
        <v>40</v>
      </c>
      <c r="M1" s="7" t="s">
        <v>59</v>
      </c>
      <c r="N1" s="7" t="s">
        <v>42</v>
      </c>
      <c r="P1" s="7" t="s">
        <v>43</v>
      </c>
    </row>
    <row r="2" spans="1:48" s="10" customFormat="1" x14ac:dyDescent="0.2">
      <c r="A2" s="9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9" t="s">
        <v>7</v>
      </c>
      <c r="H2" s="9" t="s">
        <v>33</v>
      </c>
      <c r="I2" s="9" t="s">
        <v>8</v>
      </c>
      <c r="J2" s="9" t="s">
        <v>9</v>
      </c>
      <c r="K2" s="9" t="s">
        <v>10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15</v>
      </c>
    </row>
    <row r="3" spans="1:48" s="13" customFormat="1" x14ac:dyDescent="0.2">
      <c r="A3" s="12" t="s">
        <v>141</v>
      </c>
      <c r="B3" s="12" t="s">
        <v>16</v>
      </c>
      <c r="C3" s="12" t="s">
        <v>17</v>
      </c>
      <c r="D3" s="12" t="s">
        <v>18</v>
      </c>
      <c r="E3" s="12" t="s">
        <v>19</v>
      </c>
      <c r="F3" s="12" t="s">
        <v>20</v>
      </c>
      <c r="G3" s="12" t="s">
        <v>125</v>
      </c>
      <c r="H3" s="12" t="s">
        <v>126</v>
      </c>
      <c r="I3" s="12" t="s">
        <v>61</v>
      </c>
      <c r="J3" s="12" t="s">
        <v>34</v>
      </c>
      <c r="K3" s="12" t="s">
        <v>127</v>
      </c>
      <c r="L3" s="12" t="s">
        <v>62</v>
      </c>
      <c r="M3" s="12" t="s">
        <v>21</v>
      </c>
      <c r="N3" s="12" t="s">
        <v>12</v>
      </c>
      <c r="O3" s="12" t="s">
        <v>128</v>
      </c>
      <c r="P3" s="12" t="s">
        <v>129</v>
      </c>
      <c r="Q3" s="13" t="s">
        <v>90</v>
      </c>
      <c r="R3" s="12" t="s">
        <v>130</v>
      </c>
      <c r="S3" s="12" t="s">
        <v>37</v>
      </c>
      <c r="T3" s="12" t="s">
        <v>131</v>
      </c>
      <c r="U3" s="12" t="s">
        <v>118</v>
      </c>
      <c r="V3" s="12" t="s">
        <v>117</v>
      </c>
      <c r="W3" s="12" t="s">
        <v>132</v>
      </c>
      <c r="X3" s="12" t="s">
        <v>134</v>
      </c>
      <c r="Y3" s="12" t="s">
        <v>65</v>
      </c>
      <c r="Z3" s="12" t="s">
        <v>66</v>
      </c>
      <c r="AA3" s="12" t="s">
        <v>119</v>
      </c>
      <c r="AB3" s="12" t="s">
        <v>120</v>
      </c>
      <c r="AC3" s="12" t="s">
        <v>121</v>
      </c>
      <c r="AD3" s="13" t="s">
        <v>63</v>
      </c>
      <c r="AE3" s="13" t="s">
        <v>67</v>
      </c>
      <c r="AF3" s="13" t="s">
        <v>68</v>
      </c>
      <c r="AG3" s="13" t="s">
        <v>69</v>
      </c>
      <c r="AH3" s="13" t="s">
        <v>70</v>
      </c>
      <c r="AI3" s="13" t="s">
        <v>71</v>
      </c>
      <c r="AJ3" s="13" t="s">
        <v>72</v>
      </c>
      <c r="AK3" s="13" t="s">
        <v>99</v>
      </c>
      <c r="AL3" s="13" t="s">
        <v>100</v>
      </c>
      <c r="AM3" s="13" t="s">
        <v>136</v>
      </c>
      <c r="AN3" s="13" t="s">
        <v>122</v>
      </c>
      <c r="AO3" s="13" t="s">
        <v>123</v>
      </c>
      <c r="AP3" s="13" t="s">
        <v>137</v>
      </c>
      <c r="AQ3" s="13" t="s">
        <v>138</v>
      </c>
      <c r="AR3" s="13" t="s">
        <v>139</v>
      </c>
      <c r="AS3" s="13" t="s">
        <v>140</v>
      </c>
    </row>
    <row r="4" spans="1:48" s="21" customFormat="1" x14ac:dyDescent="0.2">
      <c r="A4" s="20" t="s">
        <v>144</v>
      </c>
      <c r="B4" s="20" t="s">
        <v>25</v>
      </c>
      <c r="C4" s="20" t="s">
        <v>147</v>
      </c>
      <c r="D4" s="20" t="s">
        <v>148</v>
      </c>
      <c r="E4" s="20" t="s">
        <v>74</v>
      </c>
      <c r="F4" s="20" t="s">
        <v>75</v>
      </c>
      <c r="G4" s="20" t="s">
        <v>35</v>
      </c>
      <c r="H4" s="20" t="s">
        <v>89</v>
      </c>
      <c r="I4" s="20" t="s">
        <v>36</v>
      </c>
      <c r="J4" s="20" t="s">
        <v>76</v>
      </c>
      <c r="K4" s="20" t="s">
        <v>77</v>
      </c>
      <c r="L4" s="20" t="s">
        <v>78</v>
      </c>
      <c r="M4" s="20" t="s">
        <v>79</v>
      </c>
      <c r="N4" s="20" t="s">
        <v>149</v>
      </c>
      <c r="O4" s="20" t="s">
        <v>150</v>
      </c>
      <c r="P4" s="20" t="s">
        <v>23</v>
      </c>
      <c r="Q4" s="20" t="s">
        <v>80</v>
      </c>
      <c r="R4" s="20" t="s">
        <v>81</v>
      </c>
      <c r="S4" s="20" t="s">
        <v>82</v>
      </c>
      <c r="T4" s="20" t="s">
        <v>24</v>
      </c>
      <c r="U4" s="20" t="s">
        <v>83</v>
      </c>
      <c r="V4" s="20" t="s">
        <v>84</v>
      </c>
      <c r="W4" s="20" t="s">
        <v>85</v>
      </c>
      <c r="X4" s="20" t="s">
        <v>86</v>
      </c>
      <c r="Y4" s="20" t="s">
        <v>16</v>
      </c>
      <c r="Z4" s="20" t="s">
        <v>151</v>
      </c>
      <c r="AA4" s="20" t="s">
        <v>22</v>
      </c>
      <c r="AB4" s="20" t="s">
        <v>37</v>
      </c>
      <c r="AC4" s="20" t="s">
        <v>91</v>
      </c>
      <c r="AD4" s="20" t="s">
        <v>92</v>
      </c>
      <c r="AE4" s="20" t="s">
        <v>93</v>
      </c>
      <c r="AF4" s="20" t="s">
        <v>152</v>
      </c>
      <c r="AG4" s="20" t="s">
        <v>153</v>
      </c>
      <c r="AH4" s="20" t="s">
        <v>107</v>
      </c>
      <c r="AI4" s="21" t="s">
        <v>94</v>
      </c>
      <c r="AJ4" s="21" t="s">
        <v>95</v>
      </c>
      <c r="AK4" s="21" t="s">
        <v>96</v>
      </c>
      <c r="AL4" s="21" t="s">
        <v>63</v>
      </c>
      <c r="AM4" s="21" t="s">
        <v>97</v>
      </c>
      <c r="AN4" s="21" t="s">
        <v>98</v>
      </c>
      <c r="AO4" s="21" t="s">
        <v>116</v>
      </c>
      <c r="AP4" s="21" t="s">
        <v>155</v>
      </c>
      <c r="AQ4" s="21" t="s">
        <v>154</v>
      </c>
      <c r="AR4" s="21" t="s">
        <v>72</v>
      </c>
      <c r="AS4" s="21" t="s">
        <v>71</v>
      </c>
      <c r="AT4" s="21" t="s">
        <v>99</v>
      </c>
      <c r="AU4" s="21" t="s">
        <v>100</v>
      </c>
      <c r="AV4" s="21" t="s">
        <v>113</v>
      </c>
    </row>
    <row r="5" spans="1:48" s="10" customFormat="1" x14ac:dyDescent="0.2">
      <c r="A5" s="9" t="s">
        <v>60</v>
      </c>
      <c r="B5" s="9" t="s">
        <v>26</v>
      </c>
      <c r="C5" s="9" t="s">
        <v>27</v>
      </c>
      <c r="E5" s="9"/>
      <c r="F5" s="9"/>
      <c r="W5" s="11" t="s">
        <v>54</v>
      </c>
    </row>
    <row r="6" spans="1:48" s="15" customFormat="1" x14ac:dyDescent="0.2">
      <c r="A6" s="14" t="s">
        <v>142</v>
      </c>
      <c r="B6" s="14" t="s">
        <v>30</v>
      </c>
      <c r="C6" s="14" t="s">
        <v>40</v>
      </c>
      <c r="D6" s="14" t="s">
        <v>44</v>
      </c>
      <c r="E6" s="14" t="s">
        <v>45</v>
      </c>
      <c r="F6" s="14" t="s">
        <v>46</v>
      </c>
      <c r="G6" s="14" t="s">
        <v>57</v>
      </c>
      <c r="H6" s="14" t="s">
        <v>58</v>
      </c>
      <c r="I6" s="14"/>
      <c r="J6" s="14"/>
      <c r="K6" s="14"/>
      <c r="L6" s="14"/>
      <c r="M6" s="14" t="s">
        <v>47</v>
      </c>
      <c r="N6" s="14" t="s">
        <v>41</v>
      </c>
      <c r="O6" s="14"/>
      <c r="P6" s="14"/>
      <c r="Q6" s="14" t="s">
        <v>48</v>
      </c>
      <c r="R6" s="15">
        <v>43432</v>
      </c>
      <c r="S6" s="15">
        <v>0</v>
      </c>
      <c r="T6" s="15">
        <v>100</v>
      </c>
      <c r="U6" s="14" t="s">
        <v>55</v>
      </c>
      <c r="V6" s="14" t="s">
        <v>49</v>
      </c>
      <c r="W6" s="14" t="s">
        <v>133</v>
      </c>
      <c r="X6" s="23" t="s">
        <v>135</v>
      </c>
      <c r="Y6" s="15">
        <v>123456</v>
      </c>
      <c r="Z6" s="15">
        <f>123456*50</f>
        <v>6172800</v>
      </c>
      <c r="AD6" s="15" t="s">
        <v>64</v>
      </c>
      <c r="AE6" s="15" t="s">
        <v>111</v>
      </c>
      <c r="AF6" s="15" t="s">
        <v>112</v>
      </c>
      <c r="AG6" s="15">
        <f>Y6-1-2</f>
        <v>123453</v>
      </c>
      <c r="AH6" s="15">
        <f>Z6-150</f>
        <v>6172650</v>
      </c>
      <c r="AI6" s="15">
        <f>AG6*22%</f>
        <v>27159.66</v>
      </c>
      <c r="AJ6" s="15">
        <f>AH6*22%</f>
        <v>1357983</v>
      </c>
      <c r="AK6" s="15">
        <v>1242.21</v>
      </c>
      <c r="AL6" s="15">
        <f>AK6*50</f>
        <v>62110.5</v>
      </c>
      <c r="AM6" s="15">
        <v>24.12</v>
      </c>
      <c r="AP6" s="15">
        <v>0</v>
      </c>
      <c r="AQ6" s="15">
        <v>0</v>
      </c>
      <c r="AR6" s="15">
        <v>154</v>
      </c>
      <c r="AS6" s="15">
        <v>123</v>
      </c>
    </row>
    <row r="7" spans="1:48" s="15" customFormat="1" x14ac:dyDescent="0.2">
      <c r="A7" s="14" t="s">
        <v>142</v>
      </c>
      <c r="B7" s="14" t="s">
        <v>31</v>
      </c>
      <c r="C7" s="14" t="s">
        <v>40</v>
      </c>
      <c r="D7" s="14" t="s">
        <v>44</v>
      </c>
      <c r="E7" s="14" t="s">
        <v>45</v>
      </c>
      <c r="F7" s="14" t="s">
        <v>28</v>
      </c>
      <c r="G7" s="14" t="s">
        <v>57</v>
      </c>
      <c r="H7" s="14" t="s">
        <v>58</v>
      </c>
      <c r="I7" s="14"/>
      <c r="J7" s="14"/>
      <c r="K7" s="14"/>
      <c r="L7" s="14"/>
      <c r="M7" s="14" t="s">
        <v>47</v>
      </c>
      <c r="N7" s="14" t="s">
        <v>53</v>
      </c>
      <c r="O7" s="14"/>
      <c r="P7" s="14"/>
      <c r="Q7" s="14" t="s">
        <v>48</v>
      </c>
      <c r="R7" s="15">
        <v>43432</v>
      </c>
      <c r="S7" s="15">
        <v>0</v>
      </c>
      <c r="T7" s="15">
        <v>100</v>
      </c>
      <c r="U7" s="14" t="s">
        <v>55</v>
      </c>
      <c r="V7" s="14" t="s">
        <v>49</v>
      </c>
      <c r="W7" s="14" t="s">
        <v>133</v>
      </c>
      <c r="X7" s="23" t="s">
        <v>135</v>
      </c>
      <c r="Y7" s="15">
        <v>54321</v>
      </c>
      <c r="Z7" s="15">
        <f>Y7*50</f>
        <v>2716050</v>
      </c>
      <c r="AA7" s="15">
        <v>1.2</v>
      </c>
      <c r="AB7" s="15">
        <v>5</v>
      </c>
      <c r="AC7" s="15">
        <v>0.12</v>
      </c>
      <c r="AD7" s="15" t="s">
        <v>64</v>
      </c>
      <c r="AE7" s="15" t="s">
        <v>114</v>
      </c>
      <c r="AF7" s="15" t="s">
        <v>115</v>
      </c>
      <c r="AG7" s="15">
        <f>Y7-300</f>
        <v>54021</v>
      </c>
      <c r="AH7" s="15">
        <f>Z7-15000</f>
        <v>2701050</v>
      </c>
      <c r="AI7" s="15">
        <f>AG7*22%</f>
        <v>11884.62</v>
      </c>
      <c r="AJ7" s="15">
        <f>AH7*22%</f>
        <v>594231</v>
      </c>
      <c r="AK7" s="15">
        <v>543.71</v>
      </c>
      <c r="AL7" s="15">
        <f>AK7*50</f>
        <v>27185.5</v>
      </c>
      <c r="AM7" s="15">
        <v>5.34</v>
      </c>
      <c r="AN7" s="15">
        <v>9.99</v>
      </c>
      <c r="AO7" s="15">
        <f>AN7*50</f>
        <v>499.5</v>
      </c>
      <c r="AP7" s="15">
        <v>0</v>
      </c>
      <c r="AQ7" s="15">
        <v>0</v>
      </c>
      <c r="AR7" s="15">
        <v>123</v>
      </c>
      <c r="AS7" s="15">
        <v>124</v>
      </c>
    </row>
    <row r="8" spans="1:48" s="4" customFormat="1" x14ac:dyDescent="0.2">
      <c r="A8" s="3" t="s">
        <v>124</v>
      </c>
      <c r="B8" s="3"/>
      <c r="C8" s="3"/>
      <c r="D8" s="3"/>
      <c r="E8" s="3"/>
      <c r="F8" s="3"/>
      <c r="H8" s="3"/>
      <c r="J8" s="3"/>
      <c r="K8" s="3"/>
      <c r="L8" s="3"/>
      <c r="M8" s="3"/>
      <c r="O8" s="3"/>
      <c r="W8" s="6"/>
    </row>
    <row r="9" spans="1:48" s="17" customFormat="1" x14ac:dyDescent="0.2">
      <c r="A9" s="16" t="s">
        <v>145</v>
      </c>
      <c r="B9" s="16" t="s">
        <v>30</v>
      </c>
      <c r="C9" s="16"/>
      <c r="D9" s="16" t="s">
        <v>103</v>
      </c>
      <c r="E9" s="16" t="s">
        <v>51</v>
      </c>
      <c r="F9" s="16" t="s">
        <v>104</v>
      </c>
      <c r="G9" s="16"/>
      <c r="I9" s="16" t="s">
        <v>50</v>
      </c>
      <c r="J9" s="16" t="s">
        <v>101</v>
      </c>
      <c r="K9" s="16"/>
      <c r="L9" s="16" t="s">
        <v>102</v>
      </c>
      <c r="M9" s="16"/>
      <c r="N9" s="16"/>
      <c r="P9" s="16"/>
      <c r="U9" s="16"/>
      <c r="V9" s="16"/>
      <c r="X9" s="18"/>
      <c r="Y9" s="17">
        <v>1</v>
      </c>
      <c r="Z9" s="19" t="s">
        <v>57</v>
      </c>
      <c r="AA9" s="17">
        <v>1002</v>
      </c>
      <c r="AB9" s="17">
        <v>2</v>
      </c>
      <c r="AC9" s="17">
        <v>1000</v>
      </c>
      <c r="AD9" s="17">
        <v>10</v>
      </c>
      <c r="AE9" s="17">
        <v>500</v>
      </c>
      <c r="AF9" s="17">
        <v>20</v>
      </c>
      <c r="AG9" s="17">
        <v>1000</v>
      </c>
      <c r="AH9" s="17" t="s">
        <v>109</v>
      </c>
      <c r="AI9" s="17" t="s">
        <v>108</v>
      </c>
      <c r="AJ9" s="17">
        <v>20</v>
      </c>
      <c r="AK9" s="17">
        <v>500</v>
      </c>
      <c r="AL9" s="17" t="s">
        <v>110</v>
      </c>
      <c r="AM9" s="17" t="s">
        <v>111</v>
      </c>
      <c r="AN9" s="17" t="s">
        <v>112</v>
      </c>
      <c r="AO9" s="17">
        <v>100</v>
      </c>
      <c r="AP9" s="17">
        <v>1.2</v>
      </c>
      <c r="AQ9" s="17">
        <v>2.4</v>
      </c>
      <c r="AR9" s="17">
        <v>1997</v>
      </c>
      <c r="AS9" s="17">
        <v>99850</v>
      </c>
      <c r="AT9" s="17">
        <v>1900</v>
      </c>
      <c r="AU9" s="17">
        <v>95000</v>
      </c>
      <c r="AV9" s="18" t="s">
        <v>54</v>
      </c>
    </row>
    <row r="10" spans="1:48" s="4" customFormat="1" x14ac:dyDescent="0.2">
      <c r="A10" s="3" t="s">
        <v>87</v>
      </c>
      <c r="B10" s="3"/>
      <c r="C10" s="3"/>
      <c r="D10" s="3"/>
      <c r="E10" s="3"/>
      <c r="F10" s="3"/>
      <c r="H10" s="3"/>
      <c r="J10" s="3"/>
      <c r="K10" s="3"/>
      <c r="L10" s="3"/>
      <c r="M10" s="3"/>
      <c r="O10" s="3"/>
      <c r="W10" s="6"/>
    </row>
    <row r="11" spans="1:48" s="17" customFormat="1" x14ac:dyDescent="0.2">
      <c r="A11" s="16" t="s">
        <v>145</v>
      </c>
      <c r="B11" s="16" t="s">
        <v>31</v>
      </c>
      <c r="C11" s="16"/>
      <c r="D11" s="16" t="s">
        <v>103</v>
      </c>
      <c r="E11" s="16" t="s">
        <v>51</v>
      </c>
      <c r="F11" s="16" t="s">
        <v>104</v>
      </c>
      <c r="G11" s="16"/>
      <c r="I11" s="16" t="s">
        <v>50</v>
      </c>
      <c r="J11" s="16" t="s">
        <v>101</v>
      </c>
      <c r="K11" s="16"/>
      <c r="L11" s="16" t="s">
        <v>102</v>
      </c>
      <c r="M11" s="16"/>
      <c r="N11" s="16" t="s">
        <v>106</v>
      </c>
      <c r="P11" s="16" t="s">
        <v>52</v>
      </c>
      <c r="T11" s="17" t="s">
        <v>29</v>
      </c>
      <c r="U11" s="16" t="s">
        <v>105</v>
      </c>
      <c r="V11" s="16" t="s">
        <v>102</v>
      </c>
      <c r="X11" s="18"/>
      <c r="Y11" s="17">
        <v>2</v>
      </c>
      <c r="Z11" s="19" t="s">
        <v>57</v>
      </c>
      <c r="AA11" s="17">
        <v>5000</v>
      </c>
      <c r="AB11" s="17">
        <v>0</v>
      </c>
      <c r="AC11" s="17">
        <v>5000</v>
      </c>
      <c r="AO11" s="17">
        <v>100</v>
      </c>
      <c r="AP11" s="17">
        <v>1.2</v>
      </c>
      <c r="AQ11" s="17">
        <v>2.4</v>
      </c>
      <c r="AV11" s="18" t="s">
        <v>54</v>
      </c>
    </row>
    <row r="12" spans="1:48" s="4" customFormat="1" ht="17" customHeight="1" x14ac:dyDescent="0.2">
      <c r="A12" s="3" t="s">
        <v>88</v>
      </c>
      <c r="B12" s="3"/>
      <c r="C12" s="3"/>
      <c r="D12" s="3"/>
      <c r="E12" s="3"/>
      <c r="F12" s="3"/>
      <c r="H12" s="3"/>
      <c r="J12" s="3"/>
      <c r="K12" s="3"/>
      <c r="L12" s="3"/>
      <c r="M12" s="3"/>
      <c r="O12" s="3"/>
      <c r="W12" s="6"/>
      <c r="AG12" s="1"/>
      <c r="AH12" s="1"/>
    </row>
    <row r="13" spans="1:48" s="17" customFormat="1" x14ac:dyDescent="0.2">
      <c r="A13" s="16" t="s">
        <v>145</v>
      </c>
      <c r="B13" s="16" t="s">
        <v>146</v>
      </c>
      <c r="C13" s="16"/>
      <c r="D13" s="16"/>
      <c r="E13" s="16"/>
      <c r="F13" s="16"/>
      <c r="G13" s="16"/>
      <c r="I13" s="16"/>
      <c r="J13" s="16"/>
      <c r="K13" s="16"/>
      <c r="L13" s="16"/>
      <c r="M13" s="16"/>
      <c r="N13" s="16" t="s">
        <v>106</v>
      </c>
      <c r="P13" s="16" t="s">
        <v>52</v>
      </c>
      <c r="T13" s="17" t="s">
        <v>29</v>
      </c>
      <c r="U13" s="16" t="s">
        <v>105</v>
      </c>
      <c r="V13" s="16" t="s">
        <v>102</v>
      </c>
      <c r="X13" s="18"/>
      <c r="Y13" s="17">
        <v>2</v>
      </c>
      <c r="Z13" s="19" t="s">
        <v>57</v>
      </c>
      <c r="AA13" s="17">
        <v>7000</v>
      </c>
      <c r="AB13" s="17">
        <v>0</v>
      </c>
      <c r="AC13" s="17">
        <v>7000</v>
      </c>
      <c r="AO13" s="17">
        <v>100</v>
      </c>
      <c r="AP13" s="17">
        <v>0.9</v>
      </c>
      <c r="AQ13" s="17">
        <v>1.8</v>
      </c>
      <c r="AV13" s="18" t="s">
        <v>54</v>
      </c>
    </row>
    <row r="14" spans="1:48" s="8" customFormat="1" x14ac:dyDescent="0.2">
      <c r="A14" s="7" t="s">
        <v>156</v>
      </c>
      <c r="B14" s="7" t="s">
        <v>32</v>
      </c>
      <c r="C14" s="7" t="s">
        <v>31</v>
      </c>
      <c r="D14" s="7"/>
      <c r="E14" s="7"/>
    </row>
    <row r="19" spans="1:22" s="4" customFormat="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2" x14ac:dyDescent="0.2">
      <c r="A20" s="2"/>
      <c r="B20" s="2"/>
      <c r="C20" s="2"/>
      <c r="D20" s="2"/>
      <c r="E20" s="2"/>
      <c r="F20" s="2"/>
      <c r="H20" s="2"/>
      <c r="J20" s="2"/>
      <c r="K20" s="2"/>
      <c r="V20" s="5"/>
    </row>
  </sheetData>
  <autoFilter ref="A1:AU20" xr:uid="{9D779424-D7FE-7E4B-AAB2-7A37B2BFE1D0}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FinancialReportToRecCo</vt:lpstr>
      <vt:lpstr>FinancialReportToRecCo!DSR_PADPIDA2015777777X_PADPIDA2015888888X_AdFunded_2015_12_01__2015_12_31_FR_1of1_20160125T091822</vt:lpstr>
    </vt:vector>
  </TitlesOfParts>
  <Company>Rightscom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Rump</dc:creator>
  <cp:lastModifiedBy>Niels Rump</cp:lastModifiedBy>
  <dcterms:created xsi:type="dcterms:W3CDTF">2016-03-17T15:15:54Z</dcterms:created>
  <dcterms:modified xsi:type="dcterms:W3CDTF">2020-10-08T07:43:12Z</dcterms:modified>
</cp:coreProperties>
</file>